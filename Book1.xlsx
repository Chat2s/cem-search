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WAY540\Desktop\Matcha onafternoon\Daily report Inbound&amp;FU\SEP 2026\"/>
    </mc:Choice>
  </mc:AlternateContent>
  <xr:revisionPtr revIDLastSave="0" documentId="8_{B01A08FE-3B96-4CF1-A74D-22103AB16B83}" xr6:coauthVersionLast="47" xr6:coauthVersionMax="47" xr10:uidLastSave="{00000000-0000-0000-0000-000000000000}"/>
  <bookViews>
    <workbookView xWindow="-108" yWindow="-108" windowWidth="23256" windowHeight="12456" xr2:uid="{1877E4E3-3422-46A9-90D5-7DD865A336E2}"/>
  </bookViews>
  <sheets>
    <sheet name="Call Daily Report" sheetId="1" r:id="rId1"/>
  </sheets>
  <externalReferences>
    <externalReference r:id="rId2"/>
  </externalReferences>
  <definedNames>
    <definedName name="_xlnm._FilterDatabase" localSheetId="0" hidden="1">'Call Daily Report'!#REF!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2" i="1" l="1"/>
  <c r="M51" i="1"/>
  <c r="M50" i="1"/>
  <c r="N44" i="1"/>
  <c r="K44" i="1"/>
  <c r="I44" i="1"/>
  <c r="H44" i="1"/>
  <c r="G44" i="1" s="1"/>
  <c r="F44" i="1"/>
  <c r="C44" i="1"/>
  <c r="K43" i="1"/>
  <c r="N43" i="1" s="1"/>
  <c r="I43" i="1"/>
  <c r="H43" i="1"/>
  <c r="G43" i="1" s="1"/>
  <c r="J43" i="1" s="1"/>
  <c r="C43" i="1"/>
  <c r="F43" i="1" s="1"/>
  <c r="N42" i="1"/>
  <c r="K42" i="1"/>
  <c r="I42" i="1"/>
  <c r="H42" i="1"/>
  <c r="G42" i="1"/>
  <c r="J42" i="1" s="1"/>
  <c r="F42" i="1"/>
  <c r="C42" i="1"/>
  <c r="N41" i="1"/>
  <c r="K41" i="1"/>
  <c r="I41" i="1"/>
  <c r="H41" i="1"/>
  <c r="G41" i="1" s="1"/>
  <c r="F41" i="1"/>
  <c r="C41" i="1"/>
  <c r="K40" i="1"/>
  <c r="N40" i="1" s="1"/>
  <c r="I40" i="1"/>
  <c r="H40" i="1"/>
  <c r="G40" i="1" s="1"/>
  <c r="J40" i="1" s="1"/>
  <c r="C40" i="1"/>
  <c r="F40" i="1" s="1"/>
  <c r="N39" i="1"/>
  <c r="K39" i="1"/>
  <c r="K45" i="1" s="1"/>
  <c r="N45" i="1" s="1"/>
  <c r="I39" i="1"/>
  <c r="J39" i="1" s="1"/>
  <c r="H39" i="1"/>
  <c r="H45" i="1" s="1"/>
  <c r="G39" i="1"/>
  <c r="F39" i="1"/>
  <c r="C39" i="1"/>
  <c r="C45" i="1" s="1"/>
  <c r="F45" i="1" s="1"/>
  <c r="F33" i="1"/>
  <c r="C33" i="1"/>
  <c r="S32" i="1"/>
  <c r="Q32" i="1"/>
  <c r="R32" i="1" s="1"/>
  <c r="P32" i="1"/>
  <c r="O32" i="1"/>
  <c r="I32" i="1"/>
  <c r="H32" i="1"/>
  <c r="G32" i="1"/>
  <c r="F32" i="1"/>
  <c r="E32" i="1"/>
  <c r="D32" i="1"/>
  <c r="C32" i="1"/>
  <c r="R31" i="1"/>
  <c r="O31" i="1"/>
  <c r="C31" i="1"/>
  <c r="F31" i="1" s="1"/>
  <c r="O30" i="1"/>
  <c r="R30" i="1" s="1"/>
  <c r="F30" i="1"/>
  <c r="C30" i="1"/>
  <c r="R29" i="1"/>
  <c r="O29" i="1"/>
  <c r="C29" i="1"/>
  <c r="F29" i="1" s="1"/>
  <c r="T28" i="1"/>
  <c r="O28" i="1"/>
  <c r="R28" i="1" s="1"/>
  <c r="C28" i="1"/>
  <c r="F28" i="1" s="1"/>
  <c r="T27" i="1"/>
  <c r="R27" i="1"/>
  <c r="O27" i="1"/>
  <c r="F27" i="1"/>
  <c r="C27" i="1"/>
  <c r="T26" i="1"/>
  <c r="O26" i="1"/>
  <c r="R26" i="1" s="1"/>
  <c r="C26" i="1"/>
  <c r="F26" i="1" s="1"/>
  <c r="T25" i="1"/>
  <c r="O25" i="1"/>
  <c r="R25" i="1" s="1"/>
  <c r="F25" i="1"/>
  <c r="C25" i="1"/>
  <c r="R24" i="1"/>
  <c r="O24" i="1"/>
  <c r="C24" i="1"/>
  <c r="F24" i="1" s="1"/>
  <c r="T23" i="1"/>
  <c r="O23" i="1"/>
  <c r="R23" i="1" s="1"/>
  <c r="F23" i="1"/>
  <c r="C23" i="1"/>
  <c r="T22" i="1"/>
  <c r="R22" i="1"/>
  <c r="O22" i="1"/>
  <c r="F22" i="1"/>
  <c r="C22" i="1"/>
  <c r="T21" i="1"/>
  <c r="O21" i="1"/>
  <c r="R21" i="1" s="1"/>
  <c r="C21" i="1"/>
  <c r="F21" i="1" s="1"/>
  <c r="T20" i="1"/>
  <c r="O20" i="1"/>
  <c r="R20" i="1" s="1"/>
  <c r="F20" i="1"/>
  <c r="C20" i="1"/>
  <c r="T19" i="1"/>
  <c r="O19" i="1"/>
  <c r="R19" i="1" s="1"/>
  <c r="C19" i="1"/>
  <c r="F19" i="1" s="1"/>
  <c r="O18" i="1"/>
  <c r="R18" i="1" s="1"/>
  <c r="F18" i="1"/>
  <c r="C18" i="1"/>
  <c r="T17" i="1"/>
  <c r="R17" i="1"/>
  <c r="O17" i="1"/>
  <c r="F17" i="1"/>
  <c r="C17" i="1"/>
  <c r="T16" i="1"/>
  <c r="O16" i="1"/>
  <c r="R16" i="1" s="1"/>
  <c r="C16" i="1"/>
  <c r="F16" i="1" s="1"/>
  <c r="R15" i="1"/>
  <c r="O15" i="1"/>
  <c r="C15" i="1"/>
  <c r="F15" i="1" s="1"/>
  <c r="T14" i="1"/>
  <c r="R14" i="1"/>
  <c r="O14" i="1"/>
  <c r="C14" i="1"/>
  <c r="F14" i="1" s="1"/>
  <c r="T13" i="1"/>
  <c r="O13" i="1"/>
  <c r="R13" i="1" s="1"/>
  <c r="H13" i="1"/>
  <c r="C13" i="1"/>
  <c r="F13" i="1" s="1"/>
  <c r="T12" i="1"/>
  <c r="O12" i="1"/>
  <c r="R12" i="1" s="1"/>
  <c r="C12" i="1"/>
  <c r="F12" i="1" s="1"/>
  <c r="O11" i="1"/>
  <c r="R11" i="1" s="1"/>
  <c r="C11" i="1"/>
  <c r="F11" i="1" s="1"/>
  <c r="U10" i="1"/>
  <c r="T10" i="1"/>
  <c r="O10" i="1"/>
  <c r="R10" i="1" s="1"/>
  <c r="C10" i="1"/>
  <c r="F10" i="1" s="1"/>
  <c r="U9" i="1"/>
  <c r="T9" i="1"/>
  <c r="O9" i="1"/>
  <c r="R9" i="1" s="1"/>
  <c r="C9" i="1"/>
  <c r="F9" i="1" s="1"/>
  <c r="U8" i="1"/>
  <c r="T8" i="1"/>
  <c r="O8" i="1"/>
  <c r="R8" i="1" s="1"/>
  <c r="H8" i="1"/>
  <c r="F8" i="1"/>
  <c r="C8" i="1"/>
  <c r="U7" i="1"/>
  <c r="U32" i="1" s="1"/>
  <c r="T7" i="1"/>
  <c r="T32" i="1" s="1"/>
  <c r="R7" i="1"/>
  <c r="O7" i="1"/>
  <c r="H7" i="1"/>
  <c r="F7" i="1"/>
  <c r="C7" i="1"/>
  <c r="O6" i="1"/>
  <c r="R6" i="1" s="1"/>
  <c r="H6" i="1"/>
  <c r="F6" i="1"/>
  <c r="C6" i="1"/>
  <c r="G45" i="1" l="1"/>
  <c r="J41" i="1"/>
  <c r="J44" i="1"/>
  <c r="I45" i="1"/>
  <c r="J45" i="1" s="1"/>
</calcChain>
</file>

<file path=xl/sharedStrings.xml><?xml version="1.0" encoding="utf-8"?>
<sst xmlns="http://schemas.openxmlformats.org/spreadsheetml/2006/main" count="106" uniqueCount="56">
  <si>
    <t>► Call Center Daily Report</t>
  </si>
  <si>
    <t>2. Call volume
     2.1 Call volume by day:</t>
  </si>
  <si>
    <t>Date</t>
  </si>
  <si>
    <t>Call volume</t>
  </si>
  <si>
    <t>Call center agents</t>
  </si>
  <si>
    <t>Remark</t>
  </si>
  <si>
    <t>Total</t>
  </si>
  <si>
    <t>Abandoned</t>
  </si>
  <si>
    <t>Answered</t>
  </si>
  <si>
    <t>% Calls Serviced</t>
  </si>
  <si>
    <t>Total Agents</t>
  </si>
  <si>
    <t>Call Agents</t>
  </si>
  <si>
    <t>Online Agents</t>
  </si>
  <si>
    <t>Sick Leave 1 Staff</t>
  </si>
  <si>
    <t>-</t>
  </si>
  <si>
    <t>Sick leave 1 Staff</t>
  </si>
  <si>
    <t>Sick Leave 1 Staff, AL 1 Staff</t>
  </si>
  <si>
    <t>Half Day PL 1 Staff</t>
  </si>
  <si>
    <t>LWOP 1 Staff</t>
  </si>
  <si>
    <t>Sick Leave 1 Staff, LWOP 1 Staff</t>
  </si>
  <si>
    <t>Sick Leave 2 Staff, LWOP 1 Staff</t>
  </si>
  <si>
    <t>Building Electricity Maintenance</t>
  </si>
  <si>
    <t>Sick leave 1 Staff, Half Day Sick Leave 1 Staff.</t>
  </si>
  <si>
    <t>Sick leave 1 Staff, AL 1 Staff</t>
  </si>
  <si>
    <t>AL 1 Staff</t>
  </si>
  <si>
    <t>On Aug 26 (1 - 10 Aug 26)</t>
  </si>
  <si>
    <t xml:space="preserve">     2.2. Call volume by Q :</t>
  </si>
  <si>
    <t>Queue</t>
  </si>
  <si>
    <t>Accumulate (1-9 Sep 2026)</t>
  </si>
  <si>
    <t>Last Month</t>
  </si>
  <si>
    <t>AS</t>
  </si>
  <si>
    <t>Change Installation Address</t>
  </si>
  <si>
    <t>Billing and payment</t>
  </si>
  <si>
    <t>Sales &amp; Purchase product</t>
  </si>
  <si>
    <t>Cody Heart Service</t>
  </si>
  <si>
    <t>General inquiry</t>
  </si>
  <si>
    <t>3.  E-trust case and chat  volume :</t>
  </si>
  <si>
    <t>Data from</t>
  </si>
  <si>
    <t>Status</t>
  </si>
  <si>
    <t>Call</t>
  </si>
  <si>
    <t>Email</t>
  </si>
  <si>
    <t>Facebook</t>
  </si>
  <si>
    <t>Line</t>
  </si>
  <si>
    <t>Pantip</t>
  </si>
  <si>
    <t>Coway mall</t>
  </si>
  <si>
    <t>Google Sheet</t>
  </si>
  <si>
    <t>Google Chat</t>
  </si>
  <si>
    <t>Mobile Survey</t>
  </si>
  <si>
    <t>In-out bound data</t>
  </si>
  <si>
    <t>Complete</t>
  </si>
  <si>
    <t>F/U</t>
  </si>
  <si>
    <t>Zendesk Chat</t>
  </si>
  <si>
    <t>►All Messaging Tickets</t>
  </si>
  <si>
    <t>►Outside business hrs tickets</t>
  </si>
  <si>
    <t>►Solved tickets</t>
  </si>
  <si>
    <t>►Unsolved Solved 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</si>
</sst>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/mmm/yy;@"/>
    <numFmt numFmtId="165" formatCode="[$-F800]dddd\,\ mmmm\ dd\,\ yyyy"/>
  </numFmts>
  <fonts count="19">
    <font>
      <sz val="9"/>
      <color rgb="FF000000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charset val="129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/>
  </cellStyleXfs>
  <cellXfs count="102">
    <xf numFmtId="0" fontId="0" fillId="0" borderId="0" xfId="0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7" fillId="0" borderId="0" xfId="0" applyFont="1" applyAlignment="1">
      <alignment horizontal="left" wrapText="1"/>
    </xf>
    <xf numFmtId="0" fontId="8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3" fontId="9" fillId="5" borderId="1" xfId="0" applyNumberFormat="1" applyFont="1" applyFill="1" applyBorder="1" applyAlignment="1">
      <alignment horizontal="center" vertical="center" wrapText="1"/>
    </xf>
    <xf numFmtId="10" fontId="9" fillId="5" borderId="1" xfId="1" applyNumberFormat="1" applyFont="1" applyFill="1" applyBorder="1" applyAlignment="1">
      <alignment horizontal="center" vertical="center" wrapText="1"/>
    </xf>
    <xf numFmtId="1" fontId="9" fillId="5" borderId="1" xfId="1" applyNumberFormat="1" applyFont="1" applyFill="1" applyBorder="1" applyAlignment="1">
      <alignment horizontal="center" vertical="center" wrapText="1"/>
    </xf>
    <xf numFmtId="0" fontId="8" fillId="4" borderId="1" xfId="0" applyFont="1" applyFill="1" applyBorder="1">
      <alignment vertical="center"/>
    </xf>
    <xf numFmtId="15" fontId="9" fillId="6" borderId="1" xfId="0" applyNumberFormat="1" applyFont="1" applyFill="1" applyBorder="1" applyAlignment="1">
      <alignment horizontal="center" vertical="center" wrapText="1"/>
    </xf>
    <xf numFmtId="3" fontId="9" fillId="6" borderId="1" xfId="0" applyNumberFormat="1" applyFont="1" applyFill="1" applyBorder="1" applyAlignment="1">
      <alignment horizontal="center" vertical="center" wrapText="1"/>
    </xf>
    <xf numFmtId="10" fontId="9" fillId="6" borderId="1" xfId="1" applyNumberFormat="1" applyFont="1" applyFill="1" applyBorder="1" applyAlignment="1">
      <alignment horizontal="center" vertical="center" wrapText="1"/>
    </xf>
    <xf numFmtId="0" fontId="9" fillId="6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3" fontId="8" fillId="0" borderId="0" xfId="0" applyNumberFormat="1" applyFont="1" applyAlignment="1">
      <alignment horizontal="center" vertical="center" wrapText="1"/>
    </xf>
    <xf numFmtId="10" fontId="8" fillId="0" borderId="0" xfId="1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indent="1"/>
    </xf>
    <xf numFmtId="10" fontId="12" fillId="0" borderId="0" xfId="1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left"/>
    </xf>
    <xf numFmtId="0" fontId="2" fillId="0" borderId="0" xfId="0" applyFont="1">
      <alignment vertical="center"/>
    </xf>
    <xf numFmtId="0" fontId="9" fillId="3" borderId="8" xfId="0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center" vertical="center"/>
    </xf>
    <xf numFmtId="164" fontId="9" fillId="3" borderId="10" xfId="0" applyNumberFormat="1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left" vertical="center" indent="1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14" fillId="0" borderId="18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37" fontId="8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>
      <alignment vertical="center"/>
    </xf>
    <xf numFmtId="10" fontId="17" fillId="0" borderId="0" xfId="0" applyNumberFormat="1" applyFont="1">
      <alignment vertical="center"/>
    </xf>
    <xf numFmtId="0" fontId="9" fillId="5" borderId="19" xfId="0" applyFont="1" applyFill="1" applyBorder="1" applyAlignment="1">
      <alignment horizontal="center" vertical="center"/>
    </xf>
    <xf numFmtId="3" fontId="9" fillId="5" borderId="19" xfId="0" applyNumberFormat="1" applyFont="1" applyFill="1" applyBorder="1" applyAlignment="1">
      <alignment horizontal="center" vertical="center" wrapText="1"/>
    </xf>
    <xf numFmtId="3" fontId="9" fillId="5" borderId="20" xfId="0" applyNumberFormat="1" applyFont="1" applyFill="1" applyBorder="1" applyAlignment="1">
      <alignment horizontal="center" vertical="center" wrapText="1"/>
    </xf>
    <xf numFmtId="10" fontId="9" fillId="5" borderId="21" xfId="0" applyNumberFormat="1" applyFont="1" applyFill="1" applyBorder="1" applyAlignment="1">
      <alignment horizontal="center" vertical="center" wrapText="1"/>
    </xf>
    <xf numFmtId="10" fontId="13" fillId="0" borderId="0" xfId="0" applyNumberFormat="1" applyFont="1" applyAlignment="1">
      <alignment horizontal="center" vertical="center" wrapText="1"/>
    </xf>
    <xf numFmtId="3" fontId="1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left"/>
    </xf>
    <xf numFmtId="165" fontId="9" fillId="5" borderId="22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 indent="1"/>
    </xf>
    <xf numFmtId="0" fontId="8" fillId="0" borderId="25" xfId="0" applyFont="1" applyBorder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7" xfId="0" applyFont="1" applyBorder="1">
      <alignment vertical="center"/>
    </xf>
    <xf numFmtId="0" fontId="9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 indent="1"/>
    </xf>
    <xf numFmtId="0" fontId="8" fillId="0" borderId="1" xfId="0" applyFont="1" applyBorder="1">
      <alignment vertical="center"/>
    </xf>
    <xf numFmtId="0" fontId="8" fillId="0" borderId="30" xfId="0" applyFont="1" applyBorder="1" applyAlignment="1">
      <alignment horizontal="center" vertical="center"/>
    </xf>
    <xf numFmtId="0" fontId="8" fillId="0" borderId="30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4" fontId="0" fillId="0" borderId="19" xfId="0" applyNumberFormat="1" applyBorder="1" applyAlignment="1">
      <alignment horizontal="left" vertical="center" indent="1"/>
    </xf>
    <xf numFmtId="0" fontId="8" fillId="0" borderId="20" xfId="0" applyFont="1" applyBorder="1">
      <alignment vertical="center"/>
    </xf>
    <xf numFmtId="0" fontId="8" fillId="0" borderId="32" xfId="0" applyFont="1" applyBorder="1" applyAlignment="1">
      <alignment horizontal="center" vertical="center"/>
    </xf>
    <xf numFmtId="0" fontId="8" fillId="0" borderId="32" xfId="0" applyFont="1" applyBorder="1">
      <alignment vertical="center"/>
    </xf>
    <xf numFmtId="0" fontId="9" fillId="0" borderId="33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ollowup%20&amp;%20Call%20volume%20Daily_Raw%20Sep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 Summary"/>
      <sheetName val="Call Daily Report"/>
      <sheetName val="Raw_data FU"/>
      <sheetName val="Pivot FU"/>
      <sheetName val="Raw Call"/>
      <sheetName val="Total Call - 3CX"/>
      <sheetName val="Details FU"/>
      <sheetName val="Genesys"/>
      <sheetName val="Total  Call &amp; Chat "/>
      <sheetName val="In-Out bound"/>
      <sheetName val="Pivot"/>
      <sheetName val="Zendesk"/>
      <sheetName val="Ref"/>
      <sheetName val="Summaryสูตร"/>
      <sheetName val="Raw_data_FU Aug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>
            <v>140</v>
          </cell>
          <cell r="C4">
            <v>1910</v>
          </cell>
        </row>
        <row r="5">
          <cell r="B5">
            <v>82</v>
          </cell>
          <cell r="C5">
            <v>1010</v>
          </cell>
        </row>
        <row r="6">
          <cell r="B6">
            <v>133</v>
          </cell>
          <cell r="C6">
            <v>2128</v>
          </cell>
        </row>
        <row r="7">
          <cell r="B7">
            <v>28</v>
          </cell>
          <cell r="C7">
            <v>404</v>
          </cell>
        </row>
        <row r="8">
          <cell r="B8">
            <v>22</v>
          </cell>
          <cell r="C8">
            <v>228</v>
          </cell>
        </row>
        <row r="9">
          <cell r="B9">
            <v>79</v>
          </cell>
          <cell r="C9">
            <v>1183</v>
          </cell>
        </row>
        <row r="44">
          <cell r="V44">
            <v>4</v>
          </cell>
          <cell r="W44">
            <v>202</v>
          </cell>
        </row>
        <row r="45">
          <cell r="V45">
            <v>6</v>
          </cell>
          <cell r="W45">
            <v>114</v>
          </cell>
        </row>
        <row r="46">
          <cell r="V46">
            <v>14</v>
          </cell>
          <cell r="W46">
            <v>176</v>
          </cell>
        </row>
        <row r="47">
          <cell r="V47">
            <v>3</v>
          </cell>
          <cell r="W47">
            <v>43</v>
          </cell>
        </row>
        <row r="48">
          <cell r="V48">
            <v>2</v>
          </cell>
          <cell r="W48">
            <v>26</v>
          </cell>
        </row>
        <row r="49">
          <cell r="V49">
            <v>6</v>
          </cell>
          <cell r="W49">
            <v>126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E318-6888-4026-9D08-B9E2E0695EE1}">
  <sheetPr>
    <tabColor theme="2" tint="-9.9978637043366805E-2"/>
    <pageSetUpPr fitToPage="1"/>
  </sheetPr>
  <dimension ref="A1:AP55"/>
  <sheetViews>
    <sheetView showGridLines="0" tabSelected="1" zoomScale="70" zoomScaleNormal="70" workbookViewId="0">
      <selection activeCell="F5" sqref="F5"/>
    </sheetView>
  </sheetViews>
  <sheetFormatPr defaultRowHeight="12"/>
  <cols>
    <col min="1" max="1" width="3.85546875" style="4" customWidth="1"/>
    <col min="2" max="2" width="32" style="4" customWidth="1"/>
    <col min="3" max="3" width="31" style="4" customWidth="1"/>
    <col min="4" max="6" width="23.140625" style="4" customWidth="1"/>
    <col min="7" max="9" width="18" style="4" customWidth="1"/>
    <col min="10" max="10" width="135.85546875" style="4" customWidth="1"/>
    <col min="11" max="15" width="22.140625" style="4" customWidth="1"/>
    <col min="16" max="16" width="20.28515625" style="4" customWidth="1"/>
    <col min="17" max="19" width="16" style="4" customWidth="1"/>
    <col min="20" max="22" width="17.7109375" style="4" customWidth="1"/>
    <col min="23" max="23" width="128.5703125" style="4" customWidth="1"/>
    <col min="24" max="24" width="11.5703125" style="4" bestFit="1" customWidth="1"/>
    <col min="25" max="25" width="16" style="4" bestFit="1" customWidth="1"/>
    <col min="26" max="26" width="11.28515625" style="4" customWidth="1"/>
    <col min="27" max="27" width="12.85546875" style="4" bestFit="1" customWidth="1"/>
    <col min="28" max="28" width="11.5703125" style="4" customWidth="1"/>
    <col min="29" max="29" width="16" style="4" customWidth="1"/>
    <col min="30" max="30" width="10.7109375" style="4" bestFit="1" customWidth="1"/>
    <col min="31" max="34" width="9.5703125" style="4" bestFit="1" customWidth="1"/>
    <col min="35" max="38" width="9.42578125" style="4" bestFit="1" customWidth="1"/>
    <col min="39" max="42" width="9.28515625" style="4" bestFit="1" customWidth="1"/>
    <col min="43" max="16384" width="9.140625" style="4"/>
  </cols>
  <sheetData>
    <row r="1" spans="2:22" s="2" customFormat="1" ht="24" customHeight="1">
      <c r="B1" s="1" t="s">
        <v>0</v>
      </c>
    </row>
    <row r="2" spans="2:22" ht="9" customHeight="1">
      <c r="B2" s="3"/>
    </row>
    <row r="3" spans="2:22" s="6" customFormat="1" ht="31.2" customHeight="1">
      <c r="B3" s="5" t="s">
        <v>1</v>
      </c>
    </row>
    <row r="4" spans="2:22" s="6" customFormat="1" ht="23.4" customHeight="1">
      <c r="B4" s="7" t="s">
        <v>2</v>
      </c>
      <c r="C4" s="8" t="s">
        <v>3</v>
      </c>
      <c r="D4" s="7"/>
      <c r="E4" s="7"/>
      <c r="F4" s="7"/>
      <c r="G4" s="9" t="s">
        <v>4</v>
      </c>
      <c r="H4" s="10"/>
      <c r="I4" s="11"/>
      <c r="J4" s="8" t="s">
        <v>5</v>
      </c>
      <c r="N4" s="7" t="s">
        <v>2</v>
      </c>
      <c r="O4" s="8" t="s">
        <v>3</v>
      </c>
      <c r="P4" s="7"/>
      <c r="Q4" s="7"/>
      <c r="R4" s="7"/>
      <c r="S4" s="9" t="s">
        <v>4</v>
      </c>
      <c r="T4" s="10"/>
      <c r="U4" s="11"/>
      <c r="V4" s="8" t="s">
        <v>5</v>
      </c>
    </row>
    <row r="5" spans="2:22" s="6" customFormat="1" ht="26.4" customHeight="1">
      <c r="B5" s="7"/>
      <c r="C5" s="12" t="s">
        <v>6</v>
      </c>
      <c r="D5" s="13" t="s">
        <v>7</v>
      </c>
      <c r="E5" s="13" t="s">
        <v>8</v>
      </c>
      <c r="F5" s="13" t="s">
        <v>9</v>
      </c>
      <c r="G5" s="14" t="s">
        <v>10</v>
      </c>
      <c r="H5" s="14" t="s">
        <v>11</v>
      </c>
      <c r="I5" s="14" t="s">
        <v>12</v>
      </c>
      <c r="J5" s="15"/>
      <c r="N5" s="7"/>
      <c r="O5" s="12" t="s">
        <v>6</v>
      </c>
      <c r="P5" s="13" t="s">
        <v>7</v>
      </c>
      <c r="Q5" s="13" t="s">
        <v>8</v>
      </c>
      <c r="R5" s="13" t="s">
        <v>9</v>
      </c>
      <c r="S5" s="14" t="s">
        <v>10</v>
      </c>
      <c r="T5" s="14" t="s">
        <v>11</v>
      </c>
      <c r="U5" s="14" t="s">
        <v>12</v>
      </c>
      <c r="V5" s="15"/>
    </row>
    <row r="6" spans="2:22" s="6" customFormat="1" ht="37.200000000000003" customHeight="1">
      <c r="B6" s="16">
        <v>46266</v>
      </c>
      <c r="C6" s="17">
        <f t="shared" ref="C6:C29" si="0">SUM(D6:E6)</f>
        <v>722</v>
      </c>
      <c r="D6" s="18">
        <v>8</v>
      </c>
      <c r="E6" s="18">
        <v>714</v>
      </c>
      <c r="F6" s="19">
        <f t="shared" ref="F6:F31" si="1">IFERROR(E6/C6,0)</f>
        <v>0.9889196675900277</v>
      </c>
      <c r="G6" s="20">
        <v>17</v>
      </c>
      <c r="H6" s="21">
        <f>G6-5</f>
        <v>12</v>
      </c>
      <c r="I6" s="21">
        <v>5</v>
      </c>
      <c r="J6" s="22" t="s">
        <v>13</v>
      </c>
      <c r="N6" s="16">
        <v>46235</v>
      </c>
      <c r="O6" s="17">
        <f t="shared" ref="O6:O30" si="2">SUM(P6:Q6)</f>
        <v>331</v>
      </c>
      <c r="P6" s="18">
        <v>38</v>
      </c>
      <c r="Q6" s="18">
        <v>293</v>
      </c>
      <c r="R6" s="19">
        <f t="shared" ref="R6:R31" si="3">IFERROR(Q6/O6,0)</f>
        <v>0.88519637462235645</v>
      </c>
      <c r="S6" s="20">
        <v>5</v>
      </c>
      <c r="T6" s="21">
        <v>4</v>
      </c>
      <c r="U6" s="21">
        <v>1</v>
      </c>
      <c r="V6" s="22" t="s">
        <v>14</v>
      </c>
    </row>
    <row r="7" spans="2:22" s="6" customFormat="1" ht="37.200000000000003" customHeight="1">
      <c r="B7" s="16">
        <v>46267</v>
      </c>
      <c r="C7" s="17">
        <f t="shared" si="0"/>
        <v>701</v>
      </c>
      <c r="D7" s="18">
        <v>15</v>
      </c>
      <c r="E7" s="18">
        <v>686</v>
      </c>
      <c r="F7" s="19">
        <f t="shared" si="1"/>
        <v>0.97860199714693297</v>
      </c>
      <c r="G7" s="20">
        <v>17</v>
      </c>
      <c r="H7" s="21">
        <f t="shared" ref="H7:H8" si="4">G7-5</f>
        <v>12</v>
      </c>
      <c r="I7" s="21">
        <v>5</v>
      </c>
      <c r="J7" s="22" t="s">
        <v>13</v>
      </c>
      <c r="N7" s="16">
        <v>46237</v>
      </c>
      <c r="O7" s="17">
        <f t="shared" si="2"/>
        <v>1042</v>
      </c>
      <c r="P7" s="18">
        <v>64</v>
      </c>
      <c r="Q7" s="18">
        <v>978</v>
      </c>
      <c r="R7" s="19">
        <f t="shared" si="3"/>
        <v>0.93857965451055658</v>
      </c>
      <c r="S7" s="20">
        <v>17</v>
      </c>
      <c r="T7" s="21">
        <f>S7-4</f>
        <v>13</v>
      </c>
      <c r="U7" s="21">
        <f>4</f>
        <v>4</v>
      </c>
      <c r="V7" s="23" t="s">
        <v>15</v>
      </c>
    </row>
    <row r="8" spans="2:22" s="6" customFormat="1" ht="34.200000000000003" customHeight="1">
      <c r="B8" s="16">
        <v>46268</v>
      </c>
      <c r="C8" s="17">
        <f t="shared" si="0"/>
        <v>729</v>
      </c>
      <c r="D8" s="18">
        <v>34</v>
      </c>
      <c r="E8" s="18">
        <v>695</v>
      </c>
      <c r="F8" s="19">
        <f t="shared" si="1"/>
        <v>0.95336076817558302</v>
      </c>
      <c r="G8" s="20">
        <v>17</v>
      </c>
      <c r="H8" s="21">
        <f t="shared" si="4"/>
        <v>12</v>
      </c>
      <c r="I8" s="21">
        <v>5</v>
      </c>
      <c r="J8" s="22" t="s">
        <v>13</v>
      </c>
      <c r="N8" s="16">
        <v>46238</v>
      </c>
      <c r="O8" s="17">
        <f t="shared" si="2"/>
        <v>797</v>
      </c>
      <c r="P8" s="18">
        <v>10</v>
      </c>
      <c r="Q8" s="18">
        <v>787</v>
      </c>
      <c r="R8" s="19">
        <f t="shared" si="3"/>
        <v>0.98745294855708909</v>
      </c>
      <c r="S8" s="20">
        <v>18</v>
      </c>
      <c r="T8" s="21">
        <f>S8-4</f>
        <v>14</v>
      </c>
      <c r="U8" s="21">
        <f>4</f>
        <v>4</v>
      </c>
      <c r="V8" s="23" t="s">
        <v>14</v>
      </c>
    </row>
    <row r="9" spans="2:22" s="6" customFormat="1" ht="34.200000000000003" customHeight="1">
      <c r="B9" s="16">
        <v>46269</v>
      </c>
      <c r="C9" s="17">
        <f t="shared" si="0"/>
        <v>711</v>
      </c>
      <c r="D9" s="18">
        <v>6</v>
      </c>
      <c r="E9" s="18">
        <v>705</v>
      </c>
      <c r="F9" s="19">
        <f t="shared" si="1"/>
        <v>0.99156118143459915</v>
      </c>
      <c r="G9" s="20">
        <v>15</v>
      </c>
      <c r="H9" s="21">
        <v>10</v>
      </c>
      <c r="I9" s="21">
        <v>5</v>
      </c>
      <c r="J9" s="22" t="s">
        <v>16</v>
      </c>
      <c r="N9" s="16">
        <v>46239</v>
      </c>
      <c r="O9" s="17">
        <f t="shared" si="2"/>
        <v>1401</v>
      </c>
      <c r="P9" s="18">
        <v>330</v>
      </c>
      <c r="Q9" s="18">
        <v>1071</v>
      </c>
      <c r="R9" s="19">
        <f t="shared" si="3"/>
        <v>0.76445396145610278</v>
      </c>
      <c r="S9" s="20">
        <v>17</v>
      </c>
      <c r="T9" s="21">
        <f>S9-4</f>
        <v>13</v>
      </c>
      <c r="U9" s="21">
        <f>4</f>
        <v>4</v>
      </c>
      <c r="V9" s="23" t="s">
        <v>15</v>
      </c>
    </row>
    <row r="10" spans="2:22" s="6" customFormat="1" ht="36" customHeight="1">
      <c r="B10" s="16">
        <v>46270</v>
      </c>
      <c r="C10" s="17">
        <f t="shared" si="0"/>
        <v>546</v>
      </c>
      <c r="D10" s="18">
        <v>17</v>
      </c>
      <c r="E10" s="18">
        <v>529</v>
      </c>
      <c r="F10" s="19">
        <f t="shared" si="1"/>
        <v>0.96886446886446886</v>
      </c>
      <c r="G10" s="20">
        <v>11</v>
      </c>
      <c r="H10" s="21">
        <v>10</v>
      </c>
      <c r="I10" s="21">
        <v>1</v>
      </c>
      <c r="J10" s="23" t="s">
        <v>14</v>
      </c>
      <c r="N10" s="16">
        <v>46240</v>
      </c>
      <c r="O10" s="17">
        <f t="shared" si="2"/>
        <v>1026</v>
      </c>
      <c r="P10" s="18">
        <v>41</v>
      </c>
      <c r="Q10" s="18">
        <v>985</v>
      </c>
      <c r="R10" s="19">
        <f t="shared" si="3"/>
        <v>0.9600389863547758</v>
      </c>
      <c r="S10" s="20">
        <v>18</v>
      </c>
      <c r="T10" s="21">
        <f>S10-4</f>
        <v>14</v>
      </c>
      <c r="U10" s="21">
        <f>4</f>
        <v>4</v>
      </c>
      <c r="V10" s="23" t="s">
        <v>17</v>
      </c>
    </row>
    <row r="11" spans="2:22" s="6" customFormat="1" ht="35.4" customHeight="1">
      <c r="B11" s="16">
        <v>46272</v>
      </c>
      <c r="C11" s="17">
        <f t="shared" si="0"/>
        <v>1349</v>
      </c>
      <c r="D11" s="18">
        <v>174</v>
      </c>
      <c r="E11" s="18">
        <v>1175</v>
      </c>
      <c r="F11" s="19">
        <f t="shared" si="1"/>
        <v>0.87101556708673089</v>
      </c>
      <c r="G11" s="20">
        <v>17</v>
      </c>
      <c r="H11" s="21">
        <v>13</v>
      </c>
      <c r="I11" s="21">
        <v>4</v>
      </c>
      <c r="J11" s="22" t="s">
        <v>16</v>
      </c>
      <c r="N11" s="16">
        <v>46241</v>
      </c>
      <c r="O11" s="17">
        <f t="shared" si="2"/>
        <v>954</v>
      </c>
      <c r="P11" s="18">
        <v>47</v>
      </c>
      <c r="Q11" s="18">
        <v>907</v>
      </c>
      <c r="R11" s="19">
        <f t="shared" si="3"/>
        <v>0.95073375262054505</v>
      </c>
      <c r="S11" s="20">
        <v>6</v>
      </c>
      <c r="T11" s="21">
        <v>5</v>
      </c>
      <c r="U11" s="21">
        <v>1</v>
      </c>
      <c r="V11" s="23" t="s">
        <v>14</v>
      </c>
    </row>
    <row r="12" spans="2:22" s="6" customFormat="1" ht="35.4" customHeight="1">
      <c r="B12" s="16">
        <v>46273</v>
      </c>
      <c r="C12" s="17">
        <f t="shared" si="0"/>
        <v>1007</v>
      </c>
      <c r="D12" s="18">
        <v>53</v>
      </c>
      <c r="E12" s="18">
        <v>954</v>
      </c>
      <c r="F12" s="19">
        <f t="shared" si="1"/>
        <v>0.94736842105263153</v>
      </c>
      <c r="G12" s="20">
        <v>17</v>
      </c>
      <c r="H12" s="21">
        <v>12</v>
      </c>
      <c r="I12" s="21">
        <v>5</v>
      </c>
      <c r="J12" s="23" t="s">
        <v>18</v>
      </c>
      <c r="N12" s="16">
        <v>46242</v>
      </c>
      <c r="O12" s="17">
        <f t="shared" si="2"/>
        <v>408</v>
      </c>
      <c r="P12" s="18">
        <v>69</v>
      </c>
      <c r="Q12" s="18">
        <v>339</v>
      </c>
      <c r="R12" s="19">
        <f t="shared" si="3"/>
        <v>0.83088235294117652</v>
      </c>
      <c r="S12" s="20">
        <v>18</v>
      </c>
      <c r="T12" s="21">
        <f>S12-4</f>
        <v>14</v>
      </c>
      <c r="U12" s="21">
        <v>4</v>
      </c>
      <c r="V12" s="23" t="s">
        <v>14</v>
      </c>
    </row>
    <row r="13" spans="2:22" s="6" customFormat="1" ht="30" customHeight="1">
      <c r="B13" s="16">
        <v>46274</v>
      </c>
      <c r="C13" s="17">
        <f t="shared" si="0"/>
        <v>860</v>
      </c>
      <c r="D13" s="18">
        <v>142</v>
      </c>
      <c r="E13" s="18">
        <v>718</v>
      </c>
      <c r="F13" s="19">
        <f t="shared" si="1"/>
        <v>0.83488372093023255</v>
      </c>
      <c r="G13" s="20">
        <v>16</v>
      </c>
      <c r="H13" s="21">
        <f>G13-5</f>
        <v>11</v>
      </c>
      <c r="I13" s="21">
        <v>5</v>
      </c>
      <c r="J13" s="22" t="s">
        <v>19</v>
      </c>
      <c r="N13" s="16">
        <v>46244</v>
      </c>
      <c r="O13" s="17">
        <f t="shared" si="2"/>
        <v>1218</v>
      </c>
      <c r="P13" s="18">
        <v>85</v>
      </c>
      <c r="Q13" s="18">
        <v>1133</v>
      </c>
      <c r="R13" s="19">
        <f t="shared" si="3"/>
        <v>0.93021346469622335</v>
      </c>
      <c r="S13" s="20">
        <v>17</v>
      </c>
      <c r="T13" s="21">
        <f>S13-4</f>
        <v>13</v>
      </c>
      <c r="U13" s="21">
        <v>4</v>
      </c>
      <c r="V13" s="23" t="s">
        <v>15</v>
      </c>
    </row>
    <row r="14" spans="2:22" s="6" customFormat="1" ht="27.6" customHeight="1">
      <c r="B14" s="16">
        <v>46275</v>
      </c>
      <c r="C14" s="17">
        <f t="shared" si="0"/>
        <v>722</v>
      </c>
      <c r="D14" s="18">
        <v>35</v>
      </c>
      <c r="E14" s="18">
        <v>687</v>
      </c>
      <c r="F14" s="19">
        <f t="shared" si="1"/>
        <v>0.95152354570637121</v>
      </c>
      <c r="G14" s="20">
        <v>15</v>
      </c>
      <c r="H14" s="21">
        <v>12</v>
      </c>
      <c r="I14" s="21">
        <v>3</v>
      </c>
      <c r="J14" s="22" t="s">
        <v>20</v>
      </c>
      <c r="N14" s="16">
        <v>46245</v>
      </c>
      <c r="O14" s="17">
        <f t="shared" si="2"/>
        <v>947</v>
      </c>
      <c r="P14" s="18">
        <v>22</v>
      </c>
      <c r="Q14" s="18">
        <v>925</v>
      </c>
      <c r="R14" s="19">
        <f t="shared" si="3"/>
        <v>0.97676874340021125</v>
      </c>
      <c r="S14" s="20">
        <v>17</v>
      </c>
      <c r="T14" s="21">
        <f>S14-4</f>
        <v>13</v>
      </c>
      <c r="U14" s="21">
        <v>4</v>
      </c>
      <c r="V14" s="23" t="s">
        <v>14</v>
      </c>
    </row>
    <row r="15" spans="2:22" s="6" customFormat="1" ht="32.4" customHeight="1">
      <c r="B15" s="16">
        <v>46276</v>
      </c>
      <c r="C15" s="17">
        <f t="shared" si="0"/>
        <v>0</v>
      </c>
      <c r="D15" s="18"/>
      <c r="E15" s="18"/>
      <c r="F15" s="19">
        <f t="shared" si="1"/>
        <v>0</v>
      </c>
      <c r="G15" s="20"/>
      <c r="H15" s="21"/>
      <c r="I15" s="21"/>
      <c r="J15" s="23"/>
      <c r="N15" s="16">
        <v>46246</v>
      </c>
      <c r="O15" s="17">
        <f t="shared" si="2"/>
        <v>282</v>
      </c>
      <c r="P15" s="18">
        <v>108</v>
      </c>
      <c r="Q15" s="18">
        <v>174</v>
      </c>
      <c r="R15" s="19">
        <f t="shared" si="3"/>
        <v>0.61702127659574468</v>
      </c>
      <c r="S15" s="20">
        <v>0</v>
      </c>
      <c r="T15" s="21">
        <v>0</v>
      </c>
      <c r="U15" s="21">
        <v>0</v>
      </c>
      <c r="V15" s="23" t="s">
        <v>21</v>
      </c>
    </row>
    <row r="16" spans="2:22" s="6" customFormat="1" ht="30.6" customHeight="1">
      <c r="B16" s="16">
        <v>46277</v>
      </c>
      <c r="C16" s="17">
        <f t="shared" si="0"/>
        <v>0</v>
      </c>
      <c r="D16" s="18"/>
      <c r="E16" s="18"/>
      <c r="F16" s="19">
        <f t="shared" si="1"/>
        <v>0</v>
      </c>
      <c r="G16" s="20"/>
      <c r="H16" s="21"/>
      <c r="I16" s="21"/>
      <c r="J16" s="23"/>
      <c r="N16" s="16">
        <v>46247</v>
      </c>
      <c r="O16" s="17">
        <f t="shared" si="2"/>
        <v>981</v>
      </c>
      <c r="P16" s="18">
        <v>35</v>
      </c>
      <c r="Q16" s="18">
        <v>946</v>
      </c>
      <c r="R16" s="19">
        <f t="shared" si="3"/>
        <v>0.96432212028542308</v>
      </c>
      <c r="S16" s="20">
        <v>17</v>
      </c>
      <c r="T16" s="21">
        <f>S16-4</f>
        <v>13</v>
      </c>
      <c r="U16" s="21">
        <v>4</v>
      </c>
      <c r="V16" s="23" t="s">
        <v>14</v>
      </c>
    </row>
    <row r="17" spans="2:22" s="6" customFormat="1" ht="28.2" customHeight="1">
      <c r="B17" s="16">
        <v>46279</v>
      </c>
      <c r="C17" s="17">
        <f t="shared" si="0"/>
        <v>0</v>
      </c>
      <c r="D17" s="18"/>
      <c r="E17" s="18"/>
      <c r="F17" s="19">
        <f t="shared" si="1"/>
        <v>0</v>
      </c>
      <c r="G17" s="20"/>
      <c r="H17" s="21"/>
      <c r="I17" s="21"/>
      <c r="J17" s="23"/>
      <c r="N17" s="16">
        <v>46248</v>
      </c>
      <c r="O17" s="17">
        <f t="shared" si="2"/>
        <v>788</v>
      </c>
      <c r="P17" s="18">
        <v>6</v>
      </c>
      <c r="Q17" s="18">
        <v>782</v>
      </c>
      <c r="R17" s="19">
        <f t="shared" si="3"/>
        <v>0.99238578680203049</v>
      </c>
      <c r="S17" s="20">
        <v>17</v>
      </c>
      <c r="T17" s="21">
        <f>S17-4</f>
        <v>13</v>
      </c>
      <c r="U17" s="21">
        <v>4</v>
      </c>
      <c r="V17" s="23" t="s">
        <v>14</v>
      </c>
    </row>
    <row r="18" spans="2:22" s="6" customFormat="1" ht="30.6" customHeight="1">
      <c r="B18" s="16">
        <v>46280</v>
      </c>
      <c r="C18" s="17">
        <f t="shared" si="0"/>
        <v>0</v>
      </c>
      <c r="D18" s="18"/>
      <c r="E18" s="18"/>
      <c r="F18" s="19">
        <f t="shared" si="1"/>
        <v>0</v>
      </c>
      <c r="G18" s="20"/>
      <c r="H18" s="21"/>
      <c r="I18" s="21"/>
      <c r="J18" s="23"/>
      <c r="N18" s="16">
        <v>46249</v>
      </c>
      <c r="O18" s="17">
        <f t="shared" si="2"/>
        <v>471</v>
      </c>
      <c r="P18" s="18">
        <v>75</v>
      </c>
      <c r="Q18" s="18">
        <v>396</v>
      </c>
      <c r="R18" s="19">
        <f t="shared" si="3"/>
        <v>0.84076433121019112</v>
      </c>
      <c r="S18" s="20">
        <v>5</v>
      </c>
      <c r="T18" s="21">
        <v>4</v>
      </c>
      <c r="U18" s="21">
        <v>1</v>
      </c>
      <c r="V18" s="23" t="s">
        <v>14</v>
      </c>
    </row>
    <row r="19" spans="2:22" s="6" customFormat="1" ht="31.2" customHeight="1">
      <c r="B19" s="16">
        <v>46281</v>
      </c>
      <c r="C19" s="17">
        <f t="shared" si="0"/>
        <v>0</v>
      </c>
      <c r="D19" s="18"/>
      <c r="E19" s="18"/>
      <c r="F19" s="19">
        <f t="shared" si="1"/>
        <v>0</v>
      </c>
      <c r="G19" s="20"/>
      <c r="H19" s="21"/>
      <c r="I19" s="21"/>
      <c r="J19" s="23"/>
      <c r="N19" s="16">
        <v>46251</v>
      </c>
      <c r="O19" s="17">
        <f t="shared" si="2"/>
        <v>1102</v>
      </c>
      <c r="P19" s="18">
        <v>57</v>
      </c>
      <c r="Q19" s="18">
        <v>1045</v>
      </c>
      <c r="R19" s="19">
        <f t="shared" si="3"/>
        <v>0.94827586206896552</v>
      </c>
      <c r="S19" s="20">
        <v>17</v>
      </c>
      <c r="T19" s="21">
        <f>S19-4</f>
        <v>13</v>
      </c>
      <c r="U19" s="21">
        <v>4</v>
      </c>
      <c r="V19" s="23" t="s">
        <v>22</v>
      </c>
    </row>
    <row r="20" spans="2:22" s="6" customFormat="1" ht="35.4" customHeight="1">
      <c r="B20" s="16">
        <v>46282</v>
      </c>
      <c r="C20" s="17">
        <f t="shared" si="0"/>
        <v>0</v>
      </c>
      <c r="D20" s="18"/>
      <c r="E20" s="18"/>
      <c r="F20" s="19">
        <f t="shared" si="1"/>
        <v>0</v>
      </c>
      <c r="G20" s="20"/>
      <c r="H20" s="21"/>
      <c r="I20" s="21"/>
      <c r="J20" s="23"/>
      <c r="N20" s="16">
        <v>46252</v>
      </c>
      <c r="O20" s="17">
        <f t="shared" si="2"/>
        <v>837</v>
      </c>
      <c r="P20" s="18">
        <v>10</v>
      </c>
      <c r="Q20" s="18">
        <v>827</v>
      </c>
      <c r="R20" s="19">
        <f t="shared" si="3"/>
        <v>0.98805256869772995</v>
      </c>
      <c r="S20" s="20">
        <v>17</v>
      </c>
      <c r="T20" s="21">
        <f>S20-4</f>
        <v>13</v>
      </c>
      <c r="U20" s="21">
        <v>4</v>
      </c>
      <c r="V20" s="23" t="s">
        <v>15</v>
      </c>
    </row>
    <row r="21" spans="2:22" s="6" customFormat="1" ht="42" customHeight="1">
      <c r="B21" s="16">
        <v>46283</v>
      </c>
      <c r="C21" s="17">
        <f t="shared" si="0"/>
        <v>0</v>
      </c>
      <c r="D21" s="18"/>
      <c r="E21" s="18"/>
      <c r="F21" s="19">
        <f t="shared" si="1"/>
        <v>0</v>
      </c>
      <c r="G21" s="20"/>
      <c r="H21" s="21"/>
      <c r="I21" s="21"/>
      <c r="J21" s="23"/>
      <c r="N21" s="16">
        <v>46253</v>
      </c>
      <c r="O21" s="17">
        <f t="shared" si="2"/>
        <v>740</v>
      </c>
      <c r="P21" s="18">
        <v>8</v>
      </c>
      <c r="Q21" s="18">
        <v>732</v>
      </c>
      <c r="R21" s="19">
        <f t="shared" si="3"/>
        <v>0.98918918918918919</v>
      </c>
      <c r="S21" s="20">
        <v>18</v>
      </c>
      <c r="T21" s="21">
        <f>S21-4</f>
        <v>14</v>
      </c>
      <c r="U21" s="21">
        <v>4</v>
      </c>
      <c r="V21" s="23" t="s">
        <v>14</v>
      </c>
    </row>
    <row r="22" spans="2:22" s="6" customFormat="1" ht="39.6" customHeight="1">
      <c r="B22" s="16">
        <v>46284</v>
      </c>
      <c r="C22" s="17">
        <f t="shared" si="0"/>
        <v>0</v>
      </c>
      <c r="D22" s="18"/>
      <c r="E22" s="18"/>
      <c r="F22" s="19">
        <f t="shared" si="1"/>
        <v>0</v>
      </c>
      <c r="G22" s="20"/>
      <c r="H22" s="21"/>
      <c r="I22" s="21"/>
      <c r="J22" s="23"/>
      <c r="N22" s="16">
        <v>46254</v>
      </c>
      <c r="O22" s="17">
        <f t="shared" si="2"/>
        <v>736</v>
      </c>
      <c r="P22" s="18">
        <v>15</v>
      </c>
      <c r="Q22" s="18">
        <v>721</v>
      </c>
      <c r="R22" s="19">
        <f t="shared" si="3"/>
        <v>0.97961956521739135</v>
      </c>
      <c r="S22" s="20">
        <v>18</v>
      </c>
      <c r="T22" s="21">
        <f>S22-4</f>
        <v>14</v>
      </c>
      <c r="U22" s="21">
        <v>4</v>
      </c>
      <c r="V22" s="23" t="s">
        <v>14</v>
      </c>
    </row>
    <row r="23" spans="2:22" s="6" customFormat="1" ht="33" customHeight="1">
      <c r="B23" s="16">
        <v>46286</v>
      </c>
      <c r="C23" s="17">
        <f t="shared" si="0"/>
        <v>0</v>
      </c>
      <c r="D23" s="18"/>
      <c r="E23" s="18"/>
      <c r="F23" s="19">
        <f t="shared" si="1"/>
        <v>0</v>
      </c>
      <c r="G23" s="20"/>
      <c r="H23" s="21"/>
      <c r="I23" s="21"/>
      <c r="J23" s="23"/>
      <c r="N23" s="16">
        <v>46255</v>
      </c>
      <c r="O23" s="17">
        <f t="shared" si="2"/>
        <v>766</v>
      </c>
      <c r="P23" s="18">
        <v>9</v>
      </c>
      <c r="Q23" s="18">
        <v>757</v>
      </c>
      <c r="R23" s="19">
        <f t="shared" si="3"/>
        <v>0.98825065274151436</v>
      </c>
      <c r="S23" s="20">
        <v>16</v>
      </c>
      <c r="T23" s="21">
        <f>S23-4</f>
        <v>12</v>
      </c>
      <c r="U23" s="21">
        <v>3</v>
      </c>
      <c r="V23" s="23" t="s">
        <v>23</v>
      </c>
    </row>
    <row r="24" spans="2:22" s="6" customFormat="1" ht="35.4" customHeight="1">
      <c r="B24" s="16">
        <v>46287</v>
      </c>
      <c r="C24" s="17">
        <f t="shared" si="0"/>
        <v>0</v>
      </c>
      <c r="D24" s="18"/>
      <c r="E24" s="18"/>
      <c r="F24" s="19">
        <f t="shared" si="1"/>
        <v>0</v>
      </c>
      <c r="G24" s="20"/>
      <c r="H24" s="21"/>
      <c r="I24" s="21"/>
      <c r="J24" s="23"/>
      <c r="N24" s="16">
        <v>46256</v>
      </c>
      <c r="O24" s="17">
        <f t="shared" si="2"/>
        <v>358</v>
      </c>
      <c r="P24" s="18">
        <v>8</v>
      </c>
      <c r="Q24" s="18">
        <v>350</v>
      </c>
      <c r="R24" s="19">
        <f t="shared" si="3"/>
        <v>0.97765363128491622</v>
      </c>
      <c r="S24" s="20">
        <v>6</v>
      </c>
      <c r="T24" s="21">
        <v>5</v>
      </c>
      <c r="U24" s="21">
        <v>1</v>
      </c>
      <c r="V24" s="23" t="s">
        <v>14</v>
      </c>
    </row>
    <row r="25" spans="2:22" s="6" customFormat="1" ht="34.799999999999997" customHeight="1">
      <c r="B25" s="16">
        <v>46288</v>
      </c>
      <c r="C25" s="17">
        <f t="shared" si="0"/>
        <v>0</v>
      </c>
      <c r="D25" s="18"/>
      <c r="E25" s="18"/>
      <c r="F25" s="19">
        <f t="shared" si="1"/>
        <v>0</v>
      </c>
      <c r="G25" s="20"/>
      <c r="H25" s="21"/>
      <c r="I25" s="21"/>
      <c r="J25" s="23"/>
      <c r="N25" s="16">
        <v>46258</v>
      </c>
      <c r="O25" s="17">
        <f t="shared" si="2"/>
        <v>974</v>
      </c>
      <c r="P25" s="18">
        <v>29</v>
      </c>
      <c r="Q25" s="18">
        <v>945</v>
      </c>
      <c r="R25" s="19">
        <f t="shared" si="3"/>
        <v>0.97022587268993843</v>
      </c>
      <c r="S25" s="20">
        <v>17</v>
      </c>
      <c r="T25" s="21">
        <f>S25-4</f>
        <v>13</v>
      </c>
      <c r="U25" s="21">
        <v>4</v>
      </c>
      <c r="V25" s="23" t="s">
        <v>15</v>
      </c>
    </row>
    <row r="26" spans="2:22" s="6" customFormat="1" ht="34.799999999999997" customHeight="1">
      <c r="B26" s="16">
        <v>46289</v>
      </c>
      <c r="C26" s="17">
        <f t="shared" si="0"/>
        <v>0</v>
      </c>
      <c r="D26" s="18"/>
      <c r="E26" s="18"/>
      <c r="F26" s="19">
        <f t="shared" si="1"/>
        <v>0</v>
      </c>
      <c r="G26" s="20"/>
      <c r="H26" s="21"/>
      <c r="I26" s="21"/>
      <c r="J26" s="23"/>
      <c r="N26" s="16">
        <v>46259</v>
      </c>
      <c r="O26" s="17">
        <f t="shared" si="2"/>
        <v>813</v>
      </c>
      <c r="P26" s="18">
        <v>5</v>
      </c>
      <c r="Q26" s="18">
        <v>808</v>
      </c>
      <c r="R26" s="19">
        <f t="shared" si="3"/>
        <v>0.99384993849938497</v>
      </c>
      <c r="S26" s="20">
        <v>18</v>
      </c>
      <c r="T26" s="21">
        <f>S26-4</f>
        <v>14</v>
      </c>
      <c r="U26" s="21">
        <v>4</v>
      </c>
      <c r="V26" s="23" t="s">
        <v>14</v>
      </c>
    </row>
    <row r="27" spans="2:22" s="6" customFormat="1" ht="34.799999999999997" customHeight="1">
      <c r="B27" s="16">
        <v>46290</v>
      </c>
      <c r="C27" s="17">
        <f t="shared" si="0"/>
        <v>0</v>
      </c>
      <c r="D27" s="18"/>
      <c r="E27" s="18"/>
      <c r="F27" s="19">
        <f t="shared" si="1"/>
        <v>0</v>
      </c>
      <c r="G27" s="20"/>
      <c r="H27" s="21"/>
      <c r="I27" s="21"/>
      <c r="J27" s="23"/>
      <c r="N27" s="16">
        <v>46260</v>
      </c>
      <c r="O27" s="17">
        <f t="shared" si="2"/>
        <v>623</v>
      </c>
      <c r="P27" s="18">
        <v>4</v>
      </c>
      <c r="Q27" s="18">
        <v>619</v>
      </c>
      <c r="R27" s="19">
        <f t="shared" si="3"/>
        <v>0.9935794542536116</v>
      </c>
      <c r="S27" s="20">
        <v>18</v>
      </c>
      <c r="T27" s="21">
        <f>S27-4</f>
        <v>14</v>
      </c>
      <c r="U27" s="21">
        <v>4</v>
      </c>
      <c r="V27" s="23" t="s">
        <v>14</v>
      </c>
    </row>
    <row r="28" spans="2:22" s="6" customFormat="1" ht="34.799999999999997" customHeight="1">
      <c r="B28" s="16">
        <v>46291</v>
      </c>
      <c r="C28" s="17">
        <f t="shared" si="0"/>
        <v>0</v>
      </c>
      <c r="D28" s="18"/>
      <c r="E28" s="18"/>
      <c r="F28" s="19">
        <f t="shared" si="1"/>
        <v>0</v>
      </c>
      <c r="G28" s="20"/>
      <c r="H28" s="21"/>
      <c r="I28" s="21"/>
      <c r="J28" s="23"/>
      <c r="N28" s="16">
        <v>46261</v>
      </c>
      <c r="O28" s="17">
        <f t="shared" si="2"/>
        <v>639</v>
      </c>
      <c r="P28" s="18">
        <v>8</v>
      </c>
      <c r="Q28" s="18">
        <v>631</v>
      </c>
      <c r="R28" s="19">
        <f t="shared" si="3"/>
        <v>0.98748043818466358</v>
      </c>
      <c r="S28" s="20">
        <v>18</v>
      </c>
      <c r="T28" s="21">
        <f>S28-4</f>
        <v>14</v>
      </c>
      <c r="U28" s="21">
        <v>4</v>
      </c>
      <c r="V28" s="23" t="s">
        <v>14</v>
      </c>
    </row>
    <row r="29" spans="2:22" s="6" customFormat="1" ht="33" customHeight="1">
      <c r="B29" s="16">
        <v>46293</v>
      </c>
      <c r="C29" s="17">
        <f t="shared" si="0"/>
        <v>0</v>
      </c>
      <c r="D29" s="18"/>
      <c r="E29" s="18"/>
      <c r="F29" s="19">
        <f t="shared" si="1"/>
        <v>0</v>
      </c>
      <c r="G29" s="20"/>
      <c r="H29" s="21"/>
      <c r="I29" s="21"/>
      <c r="J29" s="23"/>
      <c r="N29" s="16">
        <v>46262</v>
      </c>
      <c r="O29" s="17">
        <f t="shared" si="2"/>
        <v>579</v>
      </c>
      <c r="P29" s="18">
        <v>4</v>
      </c>
      <c r="Q29" s="18">
        <v>575</v>
      </c>
      <c r="R29" s="19">
        <f t="shared" si="3"/>
        <v>0.99309153713298792</v>
      </c>
      <c r="S29" s="20">
        <v>16</v>
      </c>
      <c r="T29" s="21">
        <v>13</v>
      </c>
      <c r="U29" s="21">
        <v>3</v>
      </c>
      <c r="V29" s="23" t="s">
        <v>23</v>
      </c>
    </row>
    <row r="30" spans="2:22" s="6" customFormat="1" ht="33" customHeight="1">
      <c r="B30" s="16">
        <v>46294</v>
      </c>
      <c r="C30" s="17">
        <f t="shared" ref="C30:C31" si="5">SUM(D30:E30)</f>
        <v>0</v>
      </c>
      <c r="D30" s="18"/>
      <c r="E30" s="18"/>
      <c r="F30" s="19">
        <f t="shared" si="1"/>
        <v>0</v>
      </c>
      <c r="G30" s="20"/>
      <c r="H30" s="21"/>
      <c r="I30" s="21"/>
      <c r="J30" s="23"/>
      <c r="N30" s="16">
        <v>46263</v>
      </c>
      <c r="O30" s="17">
        <f t="shared" si="2"/>
        <v>400</v>
      </c>
      <c r="P30" s="18">
        <v>6</v>
      </c>
      <c r="Q30" s="18">
        <v>394</v>
      </c>
      <c r="R30" s="19">
        <f t="shared" si="3"/>
        <v>0.98499999999999999</v>
      </c>
      <c r="S30" s="20">
        <v>12</v>
      </c>
      <c r="T30" s="21">
        <v>11</v>
      </c>
      <c r="U30" s="21">
        <v>1</v>
      </c>
      <c r="V30" s="23" t="s">
        <v>14</v>
      </c>
    </row>
    <row r="31" spans="2:22" s="6" customFormat="1" ht="33" customHeight="1">
      <c r="B31" s="16">
        <v>46295</v>
      </c>
      <c r="C31" s="17">
        <f t="shared" si="5"/>
        <v>0</v>
      </c>
      <c r="D31" s="18"/>
      <c r="E31" s="18"/>
      <c r="F31" s="19">
        <f t="shared" si="1"/>
        <v>0</v>
      </c>
      <c r="G31" s="20"/>
      <c r="H31" s="21"/>
      <c r="I31" s="21"/>
      <c r="J31" s="24"/>
      <c r="N31" s="16">
        <v>46265</v>
      </c>
      <c r="O31" s="17">
        <f>SUM(P31:Q31)</f>
        <v>792</v>
      </c>
      <c r="P31" s="18">
        <v>11</v>
      </c>
      <c r="Q31" s="18">
        <v>781</v>
      </c>
      <c r="R31" s="19">
        <f t="shared" si="3"/>
        <v>0.98611111111111116</v>
      </c>
      <c r="S31" s="20">
        <v>17</v>
      </c>
      <c r="T31" s="21">
        <v>14</v>
      </c>
      <c r="U31" s="21">
        <v>3</v>
      </c>
      <c r="V31" s="23" t="s">
        <v>24</v>
      </c>
    </row>
    <row r="32" spans="2:22" s="6" customFormat="1" ht="23.4" customHeight="1">
      <c r="B32" s="25" t="s">
        <v>6</v>
      </c>
      <c r="C32" s="26">
        <f>SUM(D32:E32)</f>
        <v>7347</v>
      </c>
      <c r="D32" s="26">
        <f>SUM(D6:D31)</f>
        <v>484</v>
      </c>
      <c r="E32" s="26">
        <f>SUM(E6:E31)</f>
        <v>6863</v>
      </c>
      <c r="F32" s="27">
        <f>IFERROR(E32/C32,0)</f>
        <v>0.9341227711991289</v>
      </c>
      <c r="G32" s="28">
        <f>AVERAGE(G6:G31)</f>
        <v>15.777777777777779</v>
      </c>
      <c r="H32" s="28">
        <f>AVERAGE(H6:H31)</f>
        <v>11.555555555555555</v>
      </c>
      <c r="I32" s="28">
        <f>AVERAGE(I6:I31)</f>
        <v>4.2222222222222223</v>
      </c>
      <c r="J32" s="29"/>
      <c r="N32" s="25" t="s">
        <v>6</v>
      </c>
      <c r="O32" s="26">
        <f>SUM(P32:Q32)</f>
        <v>20005</v>
      </c>
      <c r="P32" s="26">
        <f>SUM(P6:P31)</f>
        <v>1104</v>
      </c>
      <c r="Q32" s="26">
        <f>SUM(Q6:Q31)</f>
        <v>18901</v>
      </c>
      <c r="R32" s="27">
        <f>IFERROR(Q32/O32,0)</f>
        <v>0.94481379655086228</v>
      </c>
      <c r="S32" s="28">
        <f>AVERAGE(S6:S31)</f>
        <v>14.615384615384615</v>
      </c>
      <c r="T32" s="28">
        <f>AVERAGE(T6:T31)</f>
        <v>11.423076923076923</v>
      </c>
      <c r="U32" s="28">
        <f>AVERAGE(U6:U31)</f>
        <v>3.1538461538461537</v>
      </c>
      <c r="V32" s="29"/>
    </row>
    <row r="33" spans="1:42" s="6" customFormat="1" ht="23.4" customHeight="1">
      <c r="B33" s="30" t="s">
        <v>25</v>
      </c>
      <c r="C33" s="31">
        <f>SUM(D33:E33)</f>
        <v>7177</v>
      </c>
      <c r="D33" s="31">
        <v>684</v>
      </c>
      <c r="E33" s="31">
        <v>6493</v>
      </c>
      <c r="F33" s="32">
        <f>IFERROR(E33/C33,0)</f>
        <v>0.90469555524592449</v>
      </c>
      <c r="G33" s="33">
        <v>14</v>
      </c>
      <c r="H33" s="33">
        <v>11</v>
      </c>
      <c r="I33" s="33">
        <v>3</v>
      </c>
      <c r="J33" s="29"/>
    </row>
    <row r="34" spans="1:42" s="6" customFormat="1" ht="23.4" customHeight="1">
      <c r="B34" s="34"/>
      <c r="C34" s="35"/>
      <c r="D34" s="35"/>
      <c r="E34" s="35"/>
      <c r="F34" s="36"/>
    </row>
    <row r="35" spans="1:42" s="6" customFormat="1" ht="14.4">
      <c r="B35" s="37"/>
      <c r="C35" s="38"/>
    </row>
    <row r="36" spans="1:42" s="6" customFormat="1" ht="15" thickBot="1">
      <c r="B36" s="39" t="s">
        <v>26</v>
      </c>
      <c r="C36" s="38"/>
    </row>
    <row r="37" spans="1:42" s="6" customFormat="1" ht="23.4" customHeight="1">
      <c r="A37" s="40"/>
      <c r="B37" s="41" t="s">
        <v>27</v>
      </c>
      <c r="C37" s="42">
        <v>46275</v>
      </c>
      <c r="D37" s="43"/>
      <c r="E37" s="43"/>
      <c r="F37" s="44"/>
      <c r="G37" s="45" t="s">
        <v>28</v>
      </c>
      <c r="H37" s="46"/>
      <c r="I37" s="46"/>
      <c r="J37" s="47"/>
      <c r="K37" s="45" t="s">
        <v>29</v>
      </c>
      <c r="L37" s="46"/>
      <c r="M37" s="46"/>
      <c r="N37" s="47"/>
    </row>
    <row r="38" spans="1:42" s="40" customFormat="1" ht="19.8" customHeight="1">
      <c r="B38" s="48"/>
      <c r="C38" s="49" t="s">
        <v>6</v>
      </c>
      <c r="D38" s="13" t="s">
        <v>7</v>
      </c>
      <c r="E38" s="13" t="s">
        <v>8</v>
      </c>
      <c r="F38" s="50" t="s">
        <v>9</v>
      </c>
      <c r="G38" s="12" t="s">
        <v>6</v>
      </c>
      <c r="H38" s="13" t="s">
        <v>7</v>
      </c>
      <c r="I38" s="13" t="s">
        <v>8</v>
      </c>
      <c r="J38" s="50" t="s">
        <v>9</v>
      </c>
      <c r="K38" s="49" t="s">
        <v>6</v>
      </c>
      <c r="L38" s="13" t="s">
        <v>7</v>
      </c>
      <c r="M38" s="13" t="s">
        <v>8</v>
      </c>
      <c r="N38" s="50" t="s">
        <v>9</v>
      </c>
      <c r="O38" s="51"/>
      <c r="P38" s="51"/>
      <c r="Q38" s="52"/>
      <c r="R38" s="52"/>
      <c r="S38" s="52"/>
      <c r="T38" s="52"/>
      <c r="U38" s="52"/>
      <c r="V38" s="53"/>
      <c r="W38" s="53"/>
      <c r="X38" s="53"/>
      <c r="Y38" s="52"/>
      <c r="Z38" s="53"/>
      <c r="AA38" s="53"/>
      <c r="AB38" s="53"/>
      <c r="AC38" s="52"/>
      <c r="AD38" s="53"/>
      <c r="AE38" s="53"/>
      <c r="AF38" s="53"/>
    </row>
    <row r="39" spans="1:42" s="40" customFormat="1" ht="19.8" customHeight="1">
      <c r="B39" s="54" t="s">
        <v>30</v>
      </c>
      <c r="C39" s="55">
        <f t="shared" ref="C39:C44" si="6">SUM(D39:E39)</f>
        <v>206</v>
      </c>
      <c r="D39" s="56">
        <v>4</v>
      </c>
      <c r="E39" s="56">
        <v>202</v>
      </c>
      <c r="F39" s="57">
        <f t="shared" ref="F39:F45" si="7">IFERROR(E39/C39,0)</f>
        <v>0.98058252427184467</v>
      </c>
      <c r="G39" s="58">
        <f>SUM(H39:I39)</f>
        <v>1844</v>
      </c>
      <c r="H39" s="59">
        <f>[1]Genesys!B4-[1]Genesys!V44</f>
        <v>136</v>
      </c>
      <c r="I39" s="59">
        <f>[1]Genesys!C4-[1]Genesys!W44</f>
        <v>1708</v>
      </c>
      <c r="J39" s="57">
        <f t="shared" ref="J39:J45" si="8">IFERROR(I39/G39,0)</f>
        <v>0.92624728850325377</v>
      </c>
      <c r="K39" s="55">
        <f t="shared" ref="K39:K44" si="9">SUM(L39:M39)</f>
        <v>6399</v>
      </c>
      <c r="L39" s="56">
        <v>324</v>
      </c>
      <c r="M39" s="56">
        <v>6075</v>
      </c>
      <c r="N39" s="57">
        <f t="shared" ref="N39:N45" si="10">IFERROR(M39/K39,0)</f>
        <v>0.94936708860759489</v>
      </c>
      <c r="O39" s="60"/>
      <c r="P39" s="61"/>
      <c r="Q39" s="60"/>
      <c r="R39" s="60"/>
      <c r="S39" s="60"/>
      <c r="T39" s="61"/>
      <c r="U39" s="60"/>
      <c r="V39" s="60"/>
      <c r="W39" s="60"/>
      <c r="X39" s="61"/>
      <c r="Y39" s="60"/>
      <c r="Z39" s="60"/>
      <c r="AA39" s="60"/>
      <c r="AB39" s="61"/>
      <c r="AC39" s="60"/>
      <c r="AD39" s="60"/>
      <c r="AE39" s="60"/>
      <c r="AF39" s="61"/>
    </row>
    <row r="40" spans="1:42" s="40" customFormat="1" ht="19.8" customHeight="1">
      <c r="B40" s="54" t="s">
        <v>31</v>
      </c>
      <c r="C40" s="55">
        <f t="shared" si="6"/>
        <v>120</v>
      </c>
      <c r="D40" s="56">
        <v>6</v>
      </c>
      <c r="E40" s="56">
        <v>114</v>
      </c>
      <c r="F40" s="57">
        <f t="shared" si="7"/>
        <v>0.95</v>
      </c>
      <c r="G40" s="58">
        <f t="shared" ref="G40:G44" si="11">SUM(H40:I40)</f>
        <v>972</v>
      </c>
      <c r="H40" s="59">
        <f>[1]Genesys!B5-[1]Genesys!V45</f>
        <v>76</v>
      </c>
      <c r="I40" s="59">
        <f>[1]Genesys!C5-[1]Genesys!W45</f>
        <v>896</v>
      </c>
      <c r="J40" s="57">
        <f t="shared" si="8"/>
        <v>0.92181069958847739</v>
      </c>
      <c r="K40" s="55">
        <f t="shared" si="9"/>
        <v>2963</v>
      </c>
      <c r="L40" s="58">
        <v>108</v>
      </c>
      <c r="M40" s="58">
        <v>2855</v>
      </c>
      <c r="N40" s="57">
        <f t="shared" si="10"/>
        <v>0.96355045561930475</v>
      </c>
      <c r="O40" s="60"/>
      <c r="P40" s="61"/>
      <c r="Q40" s="60"/>
      <c r="R40" s="60"/>
      <c r="S40" s="60"/>
      <c r="T40" s="61"/>
      <c r="U40" s="60"/>
      <c r="V40" s="60"/>
      <c r="W40" s="60"/>
      <c r="X40" s="61"/>
      <c r="Y40" s="60"/>
      <c r="Z40" s="60"/>
      <c r="AA40" s="60"/>
      <c r="AB40" s="61"/>
      <c r="AC40" s="60"/>
      <c r="AD40" s="60"/>
      <c r="AE40" s="60"/>
      <c r="AF40" s="61"/>
    </row>
    <row r="41" spans="1:42" s="40" customFormat="1" ht="19.8" customHeight="1">
      <c r="B41" s="54" t="s">
        <v>32</v>
      </c>
      <c r="C41" s="55">
        <f t="shared" si="6"/>
        <v>190</v>
      </c>
      <c r="D41" s="56">
        <v>14</v>
      </c>
      <c r="E41" s="56">
        <v>176</v>
      </c>
      <c r="F41" s="57">
        <f t="shared" si="7"/>
        <v>0.9263157894736842</v>
      </c>
      <c r="G41" s="58">
        <f t="shared" si="11"/>
        <v>2071</v>
      </c>
      <c r="H41" s="59">
        <f>[1]Genesys!B6-[1]Genesys!V46</f>
        <v>119</v>
      </c>
      <c r="I41" s="59">
        <f>[1]Genesys!C6-[1]Genesys!W46</f>
        <v>1952</v>
      </c>
      <c r="J41" s="57">
        <f t="shared" si="8"/>
        <v>0.94253983582810241</v>
      </c>
      <c r="K41" s="55">
        <f t="shared" si="9"/>
        <v>5289</v>
      </c>
      <c r="L41" s="56">
        <v>476</v>
      </c>
      <c r="M41" s="56">
        <v>4813</v>
      </c>
      <c r="N41" s="57">
        <f t="shared" si="10"/>
        <v>0.91000189071658155</v>
      </c>
      <c r="O41" s="62"/>
      <c r="P41" s="63"/>
      <c r="Q41" s="62"/>
      <c r="R41" s="62"/>
      <c r="S41" s="62"/>
      <c r="T41" s="63"/>
      <c r="U41" s="62"/>
      <c r="V41" s="62"/>
      <c r="W41" s="62"/>
      <c r="X41" s="63"/>
      <c r="Y41" s="62"/>
      <c r="Z41" s="62"/>
      <c r="AA41" s="62"/>
      <c r="AB41" s="63"/>
      <c r="AC41" s="62"/>
      <c r="AD41" s="62"/>
      <c r="AE41" s="62"/>
      <c r="AF41" s="63"/>
    </row>
    <row r="42" spans="1:42" s="40" customFormat="1" ht="19.8" customHeight="1">
      <c r="B42" s="54" t="s">
        <v>33</v>
      </c>
      <c r="C42" s="55">
        <f t="shared" si="6"/>
        <v>46</v>
      </c>
      <c r="D42" s="56">
        <v>3</v>
      </c>
      <c r="E42" s="56">
        <v>43</v>
      </c>
      <c r="F42" s="57">
        <f t="shared" si="7"/>
        <v>0.93478260869565222</v>
      </c>
      <c r="G42" s="58">
        <f t="shared" si="11"/>
        <v>386</v>
      </c>
      <c r="H42" s="59">
        <f>[1]Genesys!B7-[1]Genesys!V47</f>
        <v>25</v>
      </c>
      <c r="I42" s="59">
        <f>[1]Genesys!C7-[1]Genesys!W47</f>
        <v>361</v>
      </c>
      <c r="J42" s="57">
        <f t="shared" si="8"/>
        <v>0.93523316062176165</v>
      </c>
      <c r="K42" s="55">
        <f t="shared" si="9"/>
        <v>1315</v>
      </c>
      <c r="L42" s="56">
        <v>60</v>
      </c>
      <c r="M42" s="56">
        <v>1255</v>
      </c>
      <c r="N42" s="57">
        <f t="shared" si="10"/>
        <v>0.95437262357414454</v>
      </c>
      <c r="O42" s="62"/>
      <c r="P42" s="63"/>
      <c r="Q42" s="62"/>
      <c r="R42" s="62"/>
      <c r="S42" s="62"/>
      <c r="T42" s="63"/>
      <c r="U42" s="62"/>
      <c r="V42" s="62"/>
      <c r="W42" s="62"/>
      <c r="X42" s="63"/>
      <c r="Y42" s="62"/>
      <c r="Z42" s="62"/>
      <c r="AA42" s="62"/>
      <c r="AB42" s="63"/>
      <c r="AC42" s="62"/>
      <c r="AD42" s="62"/>
      <c r="AE42" s="62"/>
      <c r="AF42" s="63"/>
    </row>
    <row r="43" spans="1:42" s="40" customFormat="1" ht="19.8" customHeight="1">
      <c r="B43" s="54" t="s">
        <v>34</v>
      </c>
      <c r="C43" s="55">
        <f t="shared" si="6"/>
        <v>28</v>
      </c>
      <c r="D43" s="56">
        <v>2</v>
      </c>
      <c r="E43" s="56">
        <v>26</v>
      </c>
      <c r="F43" s="57">
        <f t="shared" si="7"/>
        <v>0.9285714285714286</v>
      </c>
      <c r="G43" s="58">
        <f t="shared" si="11"/>
        <v>222</v>
      </c>
      <c r="H43" s="59">
        <f>[1]Genesys!B8-[1]Genesys!V48</f>
        <v>20</v>
      </c>
      <c r="I43" s="59">
        <f>[1]Genesys!C8-[1]Genesys!W48</f>
        <v>202</v>
      </c>
      <c r="J43" s="57">
        <f t="shared" si="8"/>
        <v>0.90990990990990994</v>
      </c>
      <c r="K43" s="55">
        <f t="shared" si="9"/>
        <v>618</v>
      </c>
      <c r="L43" s="56">
        <v>28</v>
      </c>
      <c r="M43" s="56">
        <v>590</v>
      </c>
      <c r="N43" s="57">
        <f t="shared" si="10"/>
        <v>0.95469255663430419</v>
      </c>
      <c r="O43" s="62"/>
      <c r="P43" s="63"/>
      <c r="Q43" s="62"/>
      <c r="R43" s="62"/>
      <c r="S43" s="62"/>
      <c r="T43" s="63"/>
      <c r="U43" s="62"/>
      <c r="V43" s="62"/>
      <c r="W43" s="62"/>
      <c r="X43" s="63"/>
      <c r="Y43" s="62"/>
      <c r="Z43" s="62"/>
      <c r="AA43" s="62"/>
      <c r="AB43" s="63"/>
      <c r="AC43" s="62"/>
      <c r="AD43" s="62"/>
      <c r="AE43" s="62"/>
      <c r="AF43" s="63"/>
    </row>
    <row r="44" spans="1:42" s="40" customFormat="1" ht="19.8" customHeight="1">
      <c r="B44" s="54" t="s">
        <v>35</v>
      </c>
      <c r="C44" s="55">
        <f t="shared" si="6"/>
        <v>132</v>
      </c>
      <c r="D44" s="56">
        <v>6</v>
      </c>
      <c r="E44" s="56">
        <v>126</v>
      </c>
      <c r="F44" s="57">
        <f t="shared" si="7"/>
        <v>0.95454545454545459</v>
      </c>
      <c r="G44" s="58">
        <f t="shared" si="11"/>
        <v>1130</v>
      </c>
      <c r="H44" s="59">
        <f>[1]Genesys!B9-[1]Genesys!V49</f>
        <v>73</v>
      </c>
      <c r="I44" s="59">
        <f>[1]Genesys!C9-[1]Genesys!W49</f>
        <v>1057</v>
      </c>
      <c r="J44" s="57">
        <f t="shared" si="8"/>
        <v>0.93539823008849554</v>
      </c>
      <c r="K44" s="55">
        <f t="shared" si="9"/>
        <v>3421</v>
      </c>
      <c r="L44" s="56">
        <v>108</v>
      </c>
      <c r="M44" s="56">
        <v>3313</v>
      </c>
      <c r="N44" s="57">
        <f t="shared" si="10"/>
        <v>0.96843028354282379</v>
      </c>
      <c r="O44" s="62"/>
      <c r="P44" s="63"/>
      <c r="Q44" s="62"/>
      <c r="R44" s="62"/>
      <c r="S44" s="62"/>
      <c r="T44" s="63"/>
      <c r="U44" s="62"/>
      <c r="V44" s="62"/>
      <c r="W44" s="62"/>
      <c r="X44" s="63"/>
      <c r="Y44" s="62"/>
      <c r="Z44" s="62"/>
      <c r="AA44" s="62"/>
      <c r="AB44" s="63"/>
      <c r="AC44" s="62"/>
      <c r="AD44" s="62"/>
      <c r="AE44" s="62"/>
      <c r="AF44" s="63"/>
    </row>
    <row r="45" spans="1:42" s="40" customFormat="1" ht="19.8" customHeight="1" thickBot="1">
      <c r="B45" s="64" t="s">
        <v>6</v>
      </c>
      <c r="C45" s="65">
        <f>SUM(C39:C44)</f>
        <v>722</v>
      </c>
      <c r="D45" s="66">
        <v>35</v>
      </c>
      <c r="E45" s="66">
        <v>687</v>
      </c>
      <c r="F45" s="67">
        <f t="shared" si="7"/>
        <v>0.95152354570637121</v>
      </c>
      <c r="G45" s="66">
        <f>SUM(G39:G44)</f>
        <v>6625</v>
      </c>
      <c r="H45" s="66">
        <f>SUM(H39:H44)</f>
        <v>449</v>
      </c>
      <c r="I45" s="66">
        <f>SUM(I39:I44)</f>
        <v>6176</v>
      </c>
      <c r="J45" s="67">
        <f t="shared" si="8"/>
        <v>0.93222641509433968</v>
      </c>
      <c r="K45" s="65">
        <f>SUM(K39:K44)</f>
        <v>20005</v>
      </c>
      <c r="L45" s="66">
        <v>1104</v>
      </c>
      <c r="M45" s="66">
        <v>18901</v>
      </c>
      <c r="N45" s="67">
        <f t="shared" si="10"/>
        <v>0.94481379655086228</v>
      </c>
      <c r="O45" s="62"/>
      <c r="P45" s="63"/>
      <c r="Q45" s="62"/>
      <c r="R45" s="62"/>
      <c r="S45" s="62"/>
      <c r="T45" s="63"/>
      <c r="U45" s="62"/>
      <c r="V45" s="62"/>
      <c r="W45" s="62"/>
      <c r="X45" s="63"/>
      <c r="Y45" s="62"/>
      <c r="Z45" s="62"/>
      <c r="AA45" s="62"/>
      <c r="AB45" s="63"/>
      <c r="AC45" s="62"/>
      <c r="AD45" s="62"/>
      <c r="AE45" s="62"/>
      <c r="AF45" s="63"/>
    </row>
    <row r="46" spans="1:42" s="40" customFormat="1" ht="11.4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2"/>
      <c r="Q46" s="62"/>
      <c r="R46" s="62"/>
      <c r="S46" s="62"/>
      <c r="T46" s="62"/>
      <c r="U46" s="62"/>
      <c r="V46" s="68"/>
      <c r="W46" s="69"/>
      <c r="X46" s="69"/>
      <c r="Y46" s="69"/>
      <c r="Z46" s="68"/>
      <c r="AA46" s="69"/>
      <c r="AB46" s="69"/>
      <c r="AC46" s="69"/>
      <c r="AD46" s="68"/>
      <c r="AE46" s="69"/>
      <c r="AF46" s="69"/>
      <c r="AG46" s="69"/>
      <c r="AH46" s="68"/>
      <c r="AI46" s="69"/>
      <c r="AJ46" s="69"/>
      <c r="AK46" s="69"/>
      <c r="AL46" s="68"/>
      <c r="AM46" s="69"/>
      <c r="AN46" s="69"/>
      <c r="AO46" s="69"/>
      <c r="AP46" s="68"/>
    </row>
    <row r="47" spans="1:42" s="6" customFormat="1" ht="23.4" customHeight="1">
      <c r="B47" s="70" t="s">
        <v>36</v>
      </c>
      <c r="C47" s="4"/>
      <c r="D47" s="35"/>
      <c r="E47" s="35"/>
      <c r="F47" s="36"/>
    </row>
    <row r="48" spans="1:42" s="6" customFormat="1" ht="23.4" customHeight="1">
      <c r="B48" s="71">
        <v>46275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</row>
    <row r="49" spans="2:13" s="6" customFormat="1" ht="23.4" customHeight="1" thickBot="1">
      <c r="B49" s="73" t="s">
        <v>37</v>
      </c>
      <c r="C49" s="74" t="s">
        <v>38</v>
      </c>
      <c r="D49" s="75" t="s">
        <v>39</v>
      </c>
      <c r="E49" s="75" t="s">
        <v>40</v>
      </c>
      <c r="F49" s="75" t="s">
        <v>41</v>
      </c>
      <c r="G49" s="75" t="s">
        <v>42</v>
      </c>
      <c r="H49" s="75" t="s">
        <v>43</v>
      </c>
      <c r="I49" s="75" t="s">
        <v>44</v>
      </c>
      <c r="J49" s="75" t="s">
        <v>45</v>
      </c>
      <c r="K49" s="75" t="s">
        <v>46</v>
      </c>
      <c r="L49" s="75" t="s">
        <v>47</v>
      </c>
      <c r="M49" s="75" t="s">
        <v>6</v>
      </c>
    </row>
    <row r="50" spans="2:13" s="6" customFormat="1" ht="23.4" customHeight="1">
      <c r="B50" s="76" t="s">
        <v>48</v>
      </c>
      <c r="C50" s="77" t="s">
        <v>49</v>
      </c>
      <c r="D50" s="78">
        <v>653</v>
      </c>
      <c r="E50" s="78">
        <v>54</v>
      </c>
      <c r="F50" s="78">
        <v>0</v>
      </c>
      <c r="G50" s="78">
        <v>479</v>
      </c>
      <c r="H50" s="78">
        <v>0</v>
      </c>
      <c r="I50" s="78">
        <v>2</v>
      </c>
      <c r="J50" s="78">
        <v>0</v>
      </c>
      <c r="K50" s="78">
        <v>32</v>
      </c>
      <c r="L50" s="78">
        <v>4</v>
      </c>
      <c r="M50" s="79">
        <f>SUM(D50:L50)</f>
        <v>1224</v>
      </c>
    </row>
    <row r="51" spans="2:13" s="6" customFormat="1" ht="23.4" customHeight="1" thickBot="1">
      <c r="B51" s="80"/>
      <c r="C51" s="81" t="s">
        <v>50</v>
      </c>
      <c r="D51" s="82">
        <v>78</v>
      </c>
      <c r="E51" s="82">
        <v>5</v>
      </c>
      <c r="F51" s="82">
        <v>0</v>
      </c>
      <c r="G51" s="82">
        <v>71</v>
      </c>
      <c r="H51" s="82">
        <v>0</v>
      </c>
      <c r="I51" s="82">
        <v>0</v>
      </c>
      <c r="J51" s="82">
        <v>0</v>
      </c>
      <c r="K51" s="82">
        <v>0</v>
      </c>
      <c r="L51" s="82">
        <v>3</v>
      </c>
      <c r="M51" s="83">
        <f>SUM(D51:L51)</f>
        <v>157</v>
      </c>
    </row>
    <row r="52" spans="2:13" s="6" customFormat="1" ht="23.4" customHeight="1">
      <c r="B52" s="84" t="s">
        <v>51</v>
      </c>
      <c r="C52" s="85" t="s">
        <v>52</v>
      </c>
      <c r="D52" s="86"/>
      <c r="E52" s="78">
        <v>82</v>
      </c>
      <c r="F52" s="87"/>
      <c r="G52" s="78">
        <v>745</v>
      </c>
      <c r="H52" s="88"/>
      <c r="I52" s="78"/>
      <c r="J52" s="78"/>
      <c r="K52" s="78"/>
      <c r="L52" s="78"/>
      <c r="M52" s="89">
        <f>F52+G52+E52</f>
        <v>827</v>
      </c>
    </row>
    <row r="53" spans="2:13" s="6" customFormat="1" ht="23.4" customHeight="1">
      <c r="B53" s="90"/>
      <c r="C53" s="91" t="s">
        <v>53</v>
      </c>
      <c r="D53" s="92"/>
      <c r="E53" s="56">
        <v>4</v>
      </c>
      <c r="F53" s="93"/>
      <c r="G53" s="56">
        <v>151</v>
      </c>
      <c r="H53" s="94"/>
      <c r="I53" s="56"/>
      <c r="J53" s="56"/>
      <c r="K53" s="56"/>
      <c r="L53" s="56"/>
      <c r="M53" s="95"/>
    </row>
    <row r="54" spans="2:13" s="6" customFormat="1" ht="23.4" customHeight="1">
      <c r="B54" s="90"/>
      <c r="C54" s="91" t="s">
        <v>54</v>
      </c>
      <c r="D54" s="92"/>
      <c r="E54" s="56">
        <v>52</v>
      </c>
      <c r="F54" s="93"/>
      <c r="G54" s="56">
        <v>478</v>
      </c>
      <c r="H54" s="94"/>
      <c r="I54" s="56"/>
      <c r="J54" s="56"/>
      <c r="K54" s="56"/>
      <c r="L54" s="56"/>
      <c r="M54" s="95"/>
    </row>
    <row r="55" spans="2:13" s="6" customFormat="1" ht="23.4" customHeight="1" thickBot="1">
      <c r="B55" s="96"/>
      <c r="C55" s="97" t="s">
        <v>55</v>
      </c>
      <c r="D55" s="98"/>
      <c r="E55" s="82">
        <v>30</v>
      </c>
      <c r="F55" s="99"/>
      <c r="G55" s="82">
        <v>267</v>
      </c>
      <c r="H55" s="100"/>
      <c r="I55" s="82"/>
      <c r="J55" s="82"/>
      <c r="K55" s="82"/>
      <c r="L55" s="82"/>
      <c r="M55" s="101"/>
    </row>
  </sheetData>
  <mergeCells count="20">
    <mergeCell ref="Y38:AB38"/>
    <mergeCell ref="AC38:AF38"/>
    <mergeCell ref="B48:M48"/>
    <mergeCell ref="B50:B51"/>
    <mergeCell ref="B52:B55"/>
    <mergeCell ref="M52:M55"/>
    <mergeCell ref="S4:U4"/>
    <mergeCell ref="V4:V5"/>
    <mergeCell ref="B37:B38"/>
    <mergeCell ref="C37:F37"/>
    <mergeCell ref="G37:J37"/>
    <mergeCell ref="K37:N37"/>
    <mergeCell ref="Q38:T38"/>
    <mergeCell ref="U38:X38"/>
    <mergeCell ref="B4:B5"/>
    <mergeCell ref="C4:F4"/>
    <mergeCell ref="G4:I4"/>
    <mergeCell ref="J4:J5"/>
    <mergeCell ref="N4:N5"/>
    <mergeCell ref="O4:R4"/>
  </mergeCells>
  <pageMargins left="0.7" right="0.7" top="0.75" bottom="0.75" header="0.3" footer="0.3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 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 Somnuek</dc:creator>
  <cp:lastModifiedBy>Chat Somnuek</cp:lastModifiedBy>
  <dcterms:created xsi:type="dcterms:W3CDTF">2026-09-11T02:07:19Z</dcterms:created>
  <dcterms:modified xsi:type="dcterms:W3CDTF">2026-09-11T02:07:30Z</dcterms:modified>
</cp:coreProperties>
</file>